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baa1ff2b8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act Scenarios" sheetId="1" r:id="R958f6806f74b4980"/>
    <x:sheet xmlns:r="http://schemas.openxmlformats.org/officeDocument/2006/relationships" name="Annual KPIs" sheetId="2" r:id="Rb61d4bcb23424cef"/>
    <x:sheet xmlns:r="http://schemas.openxmlformats.org/officeDocument/2006/relationships" name="Cities" sheetId="3" r:id="Re50dd53c5a2146a3"/>
    <x:sheet xmlns:r="http://schemas.openxmlformats.org/officeDocument/2006/relationships" name="Delivery Partners" sheetId="4" r:id="Rd76b577cb0524169"/>
    <x:sheet xmlns:r="http://schemas.openxmlformats.org/officeDocument/2006/relationships" name="Categories" sheetId="5" r:id="Rc68cb560902d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558A6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42"/>
      </x:patternFill>
    </x:fill>
    <x:fill>
      <x:patternFill patternType="solid">
        <x:fgColor rgb="FF146B89"/>
      </x:patternFill>
    </x:fill>
    <x:fill>
      <x:patternFill patternType="solid">
        <x:fgColor rgb="FFE2F4E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1" fontId="2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e92f0e89b4eeb" /><Relationship Type="http://schemas.openxmlformats.org/officeDocument/2006/relationships/theme" Target="/xl/theme/theme1.xml" Id="R2c5827ca826f40b9" /><Relationship Type="http://schemas.openxmlformats.org/officeDocument/2006/relationships/sharedStrings" Target="/xl/sharedStrings.xml" Id="Rca58066016b2409f" /><Relationship Type="http://schemas.openxmlformats.org/officeDocument/2006/relationships/worksheet" Target="/xl/worksheets/sheet1.xml" Id="R958f6806f74b4980" /><Relationship Type="http://schemas.openxmlformats.org/officeDocument/2006/relationships/worksheet" Target="/xl/worksheets/sheet2.xml" Id="Rb61d4bcb23424cef" /><Relationship Type="http://schemas.openxmlformats.org/officeDocument/2006/relationships/worksheet" Target="/xl/worksheets/sheet3.xml" Id="Re50dd53c5a2146a3" /><Relationship Type="http://schemas.openxmlformats.org/officeDocument/2006/relationships/worksheet" Target="/xl/worksheets/sheet4.xml" Id="Rd76b577cb0524169" /><Relationship Type="http://schemas.openxmlformats.org/officeDocument/2006/relationships/worksheet" Target="/xl/worksheets/sheet5.xml" Id="Rc68cb560902d4a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1" hidden="0" customWidth="1"/>
    <x:col min="2" max="2" width="24" hidden="0" customWidth="1"/>
  </x:cols>
  <x:sheetData>
    <x:row r="1" ht="32" customHeight="1">
      <x:c r="A1" s="3" t="str">
        <x:v>SAUDI E-COMMERCE | MANAGEMENT SCENARIOS</x:v>
      </x:c>
      <x:c r="B1" s="3" t="str"/>
      <x:c r="C1" s="3" t="str"/>
      <x:c r="D1" s="3" t="str"/>
    </x:row>
    <x:row r="3">
      <x:c r="A3" s="7" t="str">
        <x:v>Inputs — editable assumptions</x:v>
      </x:c>
      <x:c r="B3" s="7" t="str">
        <x:v>Value</x:v>
      </x:c>
    </x:row>
    <x:row r="4">
      <x:c r="A4" t="str">
        <x:v>Annual delivered orders (2025)</x:v>
      </x:c>
      <x:c r="B4" s="16" t="n">
        <x:v>129363</x:v>
      </x:c>
    </x:row>
    <x:row r="5">
      <x:c r="A5" t="str">
        <x:v>Current late-delivery rate</x:v>
      </x:c>
      <x:c r="B5" s="17" t="n">
        <x:v>0.2994</x:v>
      </x:c>
    </x:row>
    <x:row r="6">
      <x:c r="A6" t="str">
        <x:v>Target improvement (percentage points)</x:v>
      </x:c>
      <x:c r="B6" s="17" t="n">
        <x:v>0.03</x:v>
      </x:c>
    </x:row>
    <x:row r="7">
      <x:c r="A7" t="str">
        <x:v>Assumed avoidable cost per late delivery (SAR)</x:v>
      </x:c>
      <x:c r="B7" s="16" t="n">
        <x:v>20</x:v>
      </x:c>
    </x:row>
    <x:row r="8">
      <x:c r="A8" t="str">
        <x:v>Annual delivered sales SAR (2025)</x:v>
      </x:c>
      <x:c r="B8" s="18" t="n">
        <x:v>255627934.73</x:v>
      </x:c>
    </x:row>
    <x:row r="9">
      <x:c r="A9" t="str">
        <x:v>Hypothetical AOV uplift</x:v>
      </x:c>
      <x:c r="B9" s="17" t="n">
        <x:v>0.01</x:v>
      </x:c>
    </x:row>
    <x:row r="10">
      <x:c r="A10" t="str">
        <x:v>Hypothetical incremental contribution margin</x:v>
      </x:c>
      <x:c r="B10" s="17" t="n">
        <x:v>0.25</x:v>
      </x:c>
    </x:row>
    <x:row r="11">
      <x:c r="A11" t="str">
        <x:v>Estimated annual implementation cost (SAR)</x:v>
      </x:c>
      <x:c r="B11" s="16" t="n">
        <x:v>100000</x:v>
      </x:c>
    </x:row>
    <x:row r="13">
      <x:c r="A13" s="7" t="str">
        <x:v>Scenario outputs</x:v>
      </x:c>
      <x:c r="B13" s="7" t="str">
        <x:v>SAR / orders</x:v>
      </x:c>
    </x:row>
    <x:row r="14">
      <x:c r="A14" t="str">
        <x:v>Late deliveries avoided (annual)</x:v>
      </x:c>
      <x:c r="B14" s="22" t="n">
        <x:f>B4*B6</x:f>
        <x:v>3880.89</x:v>
      </x:c>
    </x:row>
    <x:row r="15">
      <x:c r="A15" t="str">
        <x:v>Gross late-delivery cost opportunity (SAR)</x:v>
      </x:c>
      <x:c r="B15" s="22" t="n">
        <x:f>B14*B7</x:f>
        <x:v>77617.8</x:v>
      </x:c>
    </x:row>
    <x:row r="16">
      <x:c r="A16" t="str">
        <x:v>Incremental sales from AOV scenario (SAR)</x:v>
      </x:c>
      <x:c r="B16" s="22" t="n">
        <x:f>B8*B9</x:f>
        <x:v>2556279.3473</x:v>
      </x:c>
    </x:row>
    <x:row r="17">
      <x:c r="A17" t="str">
        <x:v>Incremental contribution from AOV scenario (SAR)</x:v>
      </x:c>
      <x:c r="B17" s="22" t="n">
        <x:f>B16*B10</x:f>
        <x:v>639069.836825</x:v>
      </x:c>
    </x:row>
    <x:row r="18">
      <x:c r="A18" t="str">
        <x:v>Net modeled opportunity after implementation (SAR)</x:v>
      </x:c>
      <x:c r="B18" s="26" t="n">
        <x:f>B15+B17-B11</x:f>
        <x:v>616687.636825</x:v>
      </x:c>
    </x:row>
    <x:row r="19">
      <x:c r="A19" t="str">
        <x:v>Scenario status</x:v>
      </x:c>
      <x:c r="B19" t="str">
        <x:v>Hypothetical, not achieved</x:v>
      </x:c>
    </x:row>
    <x:row r="21">
      <x:c r="A21" s="3" t="str">
        <x:v>Read before using</x:v>
      </x:c>
      <x:c r="B21" s="3" t="str"/>
      <x:c r="C21" s="3" t="str"/>
      <x:c r="D21" s="3" t="str"/>
    </x:row>
    <x:row r="22" ht="36" customHeight="1">
      <x:c r="A22" s="10" t="str">
        <x:v>These are assumptions, not measured financial benefits. No evidence establishes that every avoided late delivery saves SAR 20.</x:v>
      </x:c>
      <x:c r="B22" s="10" t="str"/>
      <x:c r="C22" s="10" t="str"/>
      <x:c r="D22" s="10" t="str"/>
    </x:row>
    <x:row r="23" ht="36" customHeight="1">
      <x:c r="A23" s="10" t="str">
        <x:v>AOV uplift requires a controlled experiment and incremental margin must account for promotions, refunds and variable costs.</x:v>
      </x:c>
      <x:c r="B23" s="10" t="str"/>
      <x:c r="C23" s="10" t="str"/>
      <x:c r="D23" s="10" t="str"/>
    </x:row>
  </x:sheetData>
  <x:mergeCells>
    <x:mergeCell ref="A1:D1"/>
    <x:mergeCell ref="A21:D21"/>
    <x:mergeCell ref="A22:D22"/>
    <x:mergeCell ref="A23:D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" t="str">
        <x:v>year</x:v>
      </x:c>
      <x:c r="B1" s="3" t="str">
        <x:v>orders</x:v>
      </x:c>
      <x:c r="C1" s="3" t="str">
        <x:v>active_customers</x:v>
      </x:c>
      <x:c r="D1" s="3" t="str">
        <x:v>delivered_sales_sar</x:v>
      </x:c>
      <x:c r="E1" s="3" t="str">
        <x:v>returned_order_value_sar</x:v>
      </x:c>
      <x:c r="F1" s="3" t="str">
        <x:v>delivered_aov_sar</x:v>
      </x:c>
      <x:c r="G1" s="3" t="str">
        <x:v>cancellation_pct</x:v>
      </x:c>
      <x:c r="H1" s="3" t="str">
        <x:v>return_pct</x:v>
      </x:c>
    </x:row>
    <x:row r="2">
      <x:c r="A2" t="str">
        <x:v>2022</x:v>
      </x:c>
      <x:c r="B2" t="n">
        <x:v>60000</x:v>
      </x:c>
      <x:c r="C2" t="n">
        <x:v>50170</x:v>
      </x:c>
      <x:c r="D2" t="n">
        <x:v>163718973.85</x:v>
      </x:c>
      <x:c r="E2" t="n">
        <x:v>5322130.38</x:v>
      </x:c>
      <x:c r="F2" t="n">
        <x:v>2965.82</x:v>
      </x:c>
      <x:c r="G2" t="n">
        <x:v>4.96</x:v>
      </x:c>
      <x:c r="H2" t="n">
        <x:v>3.03</x:v>
      </x:c>
    </x:row>
    <x:row r="3">
      <x:c r="A3" t="str">
        <x:v>2023</x:v>
      </x:c>
      <x:c r="B3" t="n">
        <x:v>85000</x:v>
      </x:c>
      <x:c r="C3" t="n">
        <x:v>65840</x:v>
      </x:c>
      <x:c r="D3" t="n">
        <x:v>229357804.31</x:v>
      </x:c>
      <x:c r="E3" t="n">
        <x:v>7534221.62</x:v>
      </x:c>
      <x:c r="F3" t="n">
        <x:v>2932.7</x:v>
      </x:c>
      <x:c r="G3" t="n">
        <x:v>4.95</x:v>
      </x:c>
      <x:c r="H3" t="n">
        <x:v>3.04</x:v>
      </x:c>
    </x:row>
    <x:row r="4">
      <x:c r="A4" t="str">
        <x:v>2024</x:v>
      </x:c>
      <x:c r="B4" t="n">
        <x:v>110000</x:v>
      </x:c>
      <x:c r="C4" t="n">
        <x:v>79540</x:v>
      </x:c>
      <x:c r="D4" t="n">
        <x:v>250406892.77</x:v>
      </x:c>
      <x:c r="E4" t="n">
        <x:v>7991291.87</x:v>
      </x:c>
      <x:c r="F4" t="n">
        <x:v>2474.03</x:v>
      </x:c>
      <x:c r="G4" t="n">
        <x:v>4.98</x:v>
      </x:c>
      <x:c r="H4" t="n">
        <x:v>3.01</x:v>
      </x:c>
    </x:row>
    <x:row r="5">
      <x:c r="A5" t="str">
        <x:v>2025</x:v>
      </x:c>
      <x:c r="B5" t="n">
        <x:v>145000</x:v>
      </x:c>
      <x:c r="C5" t="n">
        <x:v>95056</x:v>
      </x:c>
      <x:c r="D5" t="n">
        <x:v>255627934.73</x:v>
      </x:c>
      <x:c r="E5" t="n">
        <x:v>8353040.32</x:v>
      </x:c>
      <x:c r="F5" t="n">
        <x:v>1976.05</x:v>
      </x:c>
      <x:c r="G5" t="n">
        <x:v>4.9</x:v>
      </x:c>
      <x:c r="H5" t="n">
        <x:v>2.9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3" t="str">
        <x:v>city</x:v>
      </x:c>
      <x:c r="B1" s="3" t="str">
        <x:v>orders</x:v>
      </x:c>
      <x:c r="C1" s="3" t="str">
        <x:v>delivered_sales_sar</x:v>
      </x:c>
      <x:c r="D1" s="3" t="str">
        <x:v>cancellation_pct</x:v>
      </x:c>
      <x:c r="E1" s="3" t="str">
        <x:v>return_pct</x:v>
      </x:c>
    </x:row>
    <x:row r="2">
      <x:c r="A2" t="str">
        <x:v>Riyadh</x:v>
      </x:c>
      <x:c r="B2" t="n">
        <x:v>116459</x:v>
      </x:c>
      <x:c r="C2" t="n">
        <x:v>262057176.97</x:v>
      </x:c>
      <x:c r="D2" t="n">
        <x:v>4.97</x:v>
      </x:c>
      <x:c r="E2" t="n">
        <x:v>2.95</x:v>
      </x:c>
    </x:row>
    <x:row r="3">
      <x:c r="A3" t="str">
        <x:v>Jeddah</x:v>
      </x:c>
      <x:c r="B3" t="n">
        <x:v>79843</x:v>
      </x:c>
      <x:c r="C3" t="n">
        <x:v>179559752.56</x:v>
      </x:c>
      <x:c r="D3" t="n">
        <x:v>4.74</x:v>
      </x:c>
      <x:c r="E3" t="n">
        <x:v>3.08</x:v>
      </x:c>
    </x:row>
    <x:row r="4">
      <x:c r="A4" t="str">
        <x:v>Dammam</x:v>
      </x:c>
      <x:c r="B4" t="n">
        <x:v>40188</x:v>
      </x:c>
      <x:c r="C4" t="n">
        <x:v>89854597.47</x:v>
      </x:c>
      <x:c r="D4" t="n">
        <x:v>5.11</x:v>
      </x:c>
      <x:c r="E4" t="n">
        <x:v>2.95</x:v>
      </x:c>
    </x:row>
    <x:row r="5">
      <x:c r="A5" t="str">
        <x:v>Makkah</x:v>
      </x:c>
      <x:c r="B5" t="n">
        <x:v>32005</x:v>
      </x:c>
      <x:c r="C5" t="n">
        <x:v>71440419.64</x:v>
      </x:c>
      <x:c r="D5" t="n">
        <x:v>4.91</x:v>
      </x:c>
      <x:c r="E5" t="n">
        <x:v>3.04</x:v>
      </x:c>
    </x:row>
    <x:row r="6">
      <x:c r="A6" t="str">
        <x:v>Khobar</x:v>
      </x:c>
      <x:c r="B6" t="n">
        <x:v>27368</x:v>
      </x:c>
      <x:c r="C6" t="n">
        <x:v>61652257.31</x:v>
      </x:c>
      <x:c r="D6" t="n">
        <x:v>5.21</x:v>
      </x:c>
      <x:c r="E6" t="n">
        <x:v>2.81</x:v>
      </x:c>
    </x:row>
    <x:row r="7">
      <x:c r="A7" t="str">
        <x:v>Madinah</x:v>
      </x:c>
      <x:c r="B7" t="n">
        <x:v>23993</x:v>
      </x:c>
      <x:c r="C7" t="n">
        <x:v>53897175.04</x:v>
      </x:c>
      <x:c r="D7" t="n">
        <x:v>5.01</x:v>
      </x:c>
      <x:c r="E7" t="n">
        <x:v>3.02</x:v>
      </x:c>
    </x:row>
    <x:row r="8">
      <x:c r="A8" t="str">
        <x:v>Tabuk</x:v>
      </x:c>
      <x:c r="B8" t="n">
        <x:v>15972</x:v>
      </x:c>
      <x:c r="C8" t="n">
        <x:v>36567690.12</x:v>
      </x:c>
      <x:c r="D8" t="n">
        <x:v>5.25</x:v>
      </x:c>
      <x:c r="E8" t="n">
        <x:v>2.78</x:v>
      </x:c>
    </x:row>
    <x:row r="9">
      <x:c r="A9" t="str">
        <x:v>Taif</x:v>
      </x:c>
      <x:c r="B9" t="n">
        <x:v>16056</x:v>
      </x:c>
      <x:c r="C9" t="n">
        <x:v>36400141.38</x:v>
      </x:c>
      <x:c r="D9" t="n">
        <x:v>4.56</x:v>
      </x:c>
      <x:c r="E9" t="n">
        <x:v>2.77</x:v>
      </x:c>
    </x:row>
    <x:row r="10">
      <x:c r="A10" t="str">
        <x:v>Abha</x:v>
      </x:c>
      <x:c r="B10" t="n">
        <x:v>16037</x:v>
      </x:c>
      <x:c r="C10" t="n">
        <x:v>36133475.91</x:v>
      </x:c>
      <x:c r="D10" t="n">
        <x:v>5.11</x:v>
      </x:c>
      <x:c r="E10" t="n">
        <x:v>3.09</x:v>
      </x:c>
    </x:row>
    <x:row r="11">
      <x:c r="A11" t="str">
        <x:v>Al Ahsa</x:v>
      </x:c>
      <x:c r="B11" t="n">
        <x:v>12416</x:v>
      </x:c>
      <x:c r="C11" t="n">
        <x:v>27833648.71</x:v>
      </x:c>
      <x:c r="D11" t="n">
        <x:v>4.87</x:v>
      </x:c>
      <x:c r="E11" t="n">
        <x:v>3.39</x:v>
      </x:c>
    </x:row>
    <x:row r="12">
      <x:c r="A12" t="str">
        <x:v>Jubail</x:v>
      </x:c>
      <x:c r="B12" t="n">
        <x:v>11865</x:v>
      </x:c>
      <x:c r="C12" t="n">
        <x:v>26600183.48</x:v>
      </x:c>
      <x:c r="D12" t="n">
        <x:v>4.91</x:v>
      </x:c>
      <x:c r="E12" t="n">
        <x:v>2.93</x:v>
      </x:c>
    </x:row>
    <x:row r="13">
      <x:c r="A13" t="str">
        <x:v>Buraydah</x:v>
      </x:c>
      <x:c r="B13" t="n">
        <x:v>7798</x:v>
      </x:c>
      <x:c r="C13" t="n">
        <x:v>17115087.07</x:v>
      </x:c>
      <x:c r="D13" t="n">
        <x:v>4.78</x:v>
      </x:c>
      <x:c r="E13" t="n">
        <x:v>2.82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" t="str">
        <x:v>delivery_partner</x:v>
      </x:c>
      <x:c r="B1" s="3" t="str">
        <x:v>delivery_records</x:v>
      </x:c>
      <x:c r="C1" s="3" t="str">
        <x:v>delivered_orders</x:v>
      </x:c>
      <x:c r="D1" s="3" t="str">
        <x:v>late_delivery_pct</x:v>
      </x:c>
      <x:c r="E1" s="3" t="str">
        <x:v>avg_delivery_cost_sar</x:v>
      </x:c>
      <x:c r="F1" s="3" t="str">
        <x:v>avg_customer_rating</x:v>
      </x:c>
    </x:row>
    <x:row r="2">
      <x:c r="A2" t="str">
        <x:v>Naqel</x:v>
      </x:c>
      <x:c r="B2" t="n">
        <x:v>80195</x:v>
      </x:c>
      <x:c r="C2" t="n">
        <x:v>73113</x:v>
      </x:c>
      <x:c r="D2" t="n">
        <x:v>30.3</x:v>
      </x:c>
      <x:c r="E2" t="n">
        <x:v>25.51</x:v>
      </x:c>
      <x:c r="F2" t="n">
        <x:v>4.1</x:v>
      </x:c>
    </x:row>
    <x:row r="3">
      <x:c r="A3" t="str">
        <x:v>In-house</x:v>
      </x:c>
      <x:c r="B3" t="n">
        <x:v>79764</x:v>
      </x:c>
      <x:c r="C3" t="n">
        <x:v>72606</x:v>
      </x:c>
      <x:c r="D3" t="n">
        <x:v>29.92</x:v>
      </x:c>
      <x:c r="E3" t="n">
        <x:v>25.48</x:v>
      </x:c>
      <x:c r="F3" t="n">
        <x:v>4.1</x:v>
      </x:c>
    </x:row>
    <x:row r="4">
      <x:c r="A4" t="str">
        <x:v>SMSA</x:v>
      </x:c>
      <x:c r="B4" t="n">
        <x:v>79867</x:v>
      </x:c>
      <x:c r="C4" t="n">
        <x:v>72669</x:v>
      </x:c>
      <x:c r="D4" t="n">
        <x:v>29.9</x:v>
      </x:c>
      <x:c r="E4" t="n">
        <x:v>25.58</x:v>
      </x:c>
      <x:c r="F4" t="n">
        <x:v>4.1</x:v>
      </x:c>
    </x:row>
    <x:row r="5">
      <x:c r="A5" t="str">
        <x:v>Aramex</x:v>
      </x:c>
      <x:c r="B5" t="n">
        <x:v>80071</x:v>
      </x:c>
      <x:c r="C5" t="n">
        <x:v>72871</x:v>
      </x:c>
      <x:c r="D5" t="n">
        <x:v>29.87</x:v>
      </x:c>
      <x:c r="E5" t="n">
        <x:v>25.49</x:v>
      </x:c>
      <x:c r="F5" t="n">
        <x:v>4.1</x:v>
      </x:c>
    </x:row>
    <x:row r="6">
      <x:c r="A6" t="str">
        <x:v>SPL</x:v>
      </x:c>
      <x:c r="B6" t="n">
        <x:v>80103</x:v>
      </x:c>
      <x:c r="C6" t="n">
        <x:v>72727</x:v>
      </x:c>
      <x:c r="D6" t="n">
        <x:v>29.72</x:v>
      </x:c>
      <x:c r="E6" t="n">
        <x:v>25.5</x:v>
      </x:c>
      <x:c r="F6" t="n">
        <x:v>4.1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3" t="str">
        <x:v>category</x:v>
      </x:c>
      <x:c r="B1" s="3" t="str">
        <x:v>delivered_orders</x:v>
      </x:c>
      <x:c r="C1" s="3" t="str">
        <x:v>delivered_gross_item_sales_sar</x:v>
      </x:c>
      <x:c r="D1" s="3" t="str">
        <x:v>delivered_item_cost_sar</x:v>
      </x:c>
      <x:c r="E1" s="3" t="str">
        <x:v>delivered_pre_discount_item_margin_sar</x:v>
      </x:c>
    </x:row>
    <x:row r="2">
      <x:c r="A2" t="str">
        <x:v>Electronics</x:v>
      </x:c>
      <x:c r="B2" t="n">
        <x:v>132813</x:v>
      </x:c>
      <x:c r="C2" t="n">
        <x:v>444290852.12</x:v>
      </x:c>
      <x:c r="D2" t="n">
        <x:v>299342071.24</x:v>
      </x:c>
      <x:c r="E2" t="n">
        <x:v>144948780.88</x:v>
      </x:c>
    </x:row>
    <x:row r="3">
      <x:c r="A3" t="str">
        <x:v>Home &amp; Kitchen</x:v>
      </x:c>
      <x:c r="B3" t="n">
        <x:v>121115</x:v>
      </x:c>
      <x:c r="C3" t="n">
        <x:v>222062606.02</x:v>
      </x:c>
      <x:c r="D3" t="n">
        <x:v>148935171.78</x:v>
      </x:c>
      <x:c r="E3" t="n">
        <x:v>73127434.24</x:v>
      </x:c>
    </x:row>
    <x:row r="4">
      <x:c r="A4" t="str">
        <x:v>Fashion</x:v>
      </x:c>
      <x:c r="B4" t="n">
        <x:v>166281</x:v>
      </x:c>
      <x:c r="C4" t="n">
        <x:v>98913743.17</x:v>
      </x:c>
      <x:c r="D4" t="n">
        <x:v>66995041.36</x:v>
      </x:c>
      <x:c r="E4" t="n">
        <x:v>31918701.81</x:v>
      </x:c>
    </x:row>
    <x:row r="5">
      <x:c r="A5" t="str">
        <x:v>Sports</x:v>
      </x:c>
      <x:c r="B5" t="n">
        <x:v>67572</x:v>
      </x:c>
      <x:c r="C5" t="n">
        <x:v>63220754.78</x:v>
      </x:c>
      <x:c r="D5" t="n">
        <x:v>42522087.71</x:v>
      </x:c>
      <x:c r="E5" t="n">
        <x:v>20698667.07</x:v>
      </x:c>
    </x:row>
    <x:row r="6">
      <x:c r="A6" t="str">
        <x:v>Automotive</x:v>
      </x:c>
      <x:c r="B6" t="n">
        <x:v>40168</x:v>
      </x:c>
      <x:c r="C6" t="n">
        <x:v>45311280.85</x:v>
      </x:c>
      <x:c r="D6" t="n">
        <x:v>30717836.81</x:v>
      </x:c>
      <x:c r="E6" t="n">
        <x:v>14593444.04</x:v>
      </x:c>
    </x:row>
    <x:row r="7">
      <x:c r="A7" t="str">
        <x:v>Beauty</x:v>
      </x:c>
      <x:c r="B7" t="n">
        <x:v>97510</x:v>
      </x:c>
      <x:c r="C7" t="n">
        <x:v>38323509.51</x:v>
      </x:c>
      <x:c r="D7" t="n">
        <x:v>25909644.23</x:v>
      </x:c>
      <x:c r="E7" t="n">
        <x:v>12413865.28</x:v>
      </x:c>
    </x:row>
    <x:row r="8">
      <x:c r="A8" t="str">
        <x:v>Groceries</x:v>
      </x:c>
      <x:c r="B8" t="n">
        <x:v>145041</x:v>
      </x:c>
      <x:c r="C8" t="n">
        <x:v>30104644.52</x:v>
      </x:c>
      <x:c r="D8" t="n">
        <x:v>20450592.61</x:v>
      </x:c>
      <x:c r="E8" t="n">
        <x:v>9654051.91</x:v>
      </x:c>
    </x:row>
    <x:row r="9">
      <x:c r="A9" t="str">
        <x:v>Books &amp; Stationery</x:v>
      </x:c>
      <x:c r="B9" t="n">
        <x:v>32285</x:v>
      </x:c>
      <x:c r="C9" t="n">
        <x:v>7901594.06</x:v>
      </x:c>
      <x:c r="D9" t="n">
        <x:v>5346382.12</x:v>
      </x:c>
      <x:c r="E9" t="n">
        <x:v>2555211.94</x:v>
      </x:c>
    </x:row>
  </x:sheetData>
  <x:pageMargins left="0.7" right="0.7" top="0.75" bottom="0.75" header="0.3" footer="0.3"/>
</x:worksheet>
</file>